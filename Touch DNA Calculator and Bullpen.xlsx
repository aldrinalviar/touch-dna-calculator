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nmnded/Desktop/"/>
    </mc:Choice>
  </mc:AlternateContent>
  <xr:revisionPtr revIDLastSave="0" documentId="8_{76CBF26C-4A17-5843-89CD-3EE445F00296}" xr6:coauthVersionLast="47" xr6:coauthVersionMax="47" xr10:uidLastSave="{00000000-0000-0000-0000-000000000000}"/>
  <bookViews>
    <workbookView xWindow="0" yWindow="600" windowWidth="28800" windowHeight="15880" activeTab="1" xr2:uid="{E43231BE-1E2E-1845-AB86-71DD7C1ABC93}"/>
  </bookViews>
  <sheets>
    <sheet name="DNA Retention on Surface" sheetId="1" r:id="rId1"/>
    <sheet name="Pathway Calculat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2" l="1"/>
  <c r="G27" i="2"/>
  <c r="G5" i="1"/>
  <c r="G26" i="2" l="1"/>
  <c r="H26" i="2" s="1"/>
  <c r="D26" i="2"/>
  <c r="G25" i="2"/>
  <c r="H25" i="2" s="1"/>
  <c r="F25" i="2" s="1"/>
  <c r="D25" i="2"/>
  <c r="G24" i="2"/>
  <c r="H24" i="2" s="1"/>
  <c r="F24" i="2" s="1"/>
  <c r="D24" i="2"/>
  <c r="D22" i="2"/>
  <c r="G22" i="2" s="1"/>
  <c r="E16" i="1"/>
  <c r="D16" i="1" s="1"/>
  <c r="F15" i="1"/>
  <c r="C14" i="1"/>
  <c r="D14" i="1"/>
  <c r="E14" i="1" s="1"/>
  <c r="D20" i="1" l="1"/>
  <c r="E15" i="1" s="1"/>
  <c r="D23" i="1" s="1"/>
  <c r="E24" i="2"/>
  <c r="E25" i="2"/>
  <c r="F26" i="2"/>
  <c r="E26" i="2"/>
  <c r="F14" i="1" l="1"/>
</calcChain>
</file>

<file path=xl/sharedStrings.xml><?xml version="1.0" encoding="utf-8"?>
<sst xmlns="http://schemas.openxmlformats.org/spreadsheetml/2006/main" count="66" uniqueCount="61">
  <si>
    <t>DNA Retention on Surface Calculator</t>
  </si>
  <si>
    <t>Notes</t>
  </si>
  <si>
    <t>Value</t>
  </si>
  <si>
    <t>Unit</t>
  </si>
  <si>
    <t>Elution buffer</t>
  </si>
  <si>
    <t>uL</t>
  </si>
  <si>
    <t>DNA Deposited</t>
  </si>
  <si>
    <t>ng</t>
  </si>
  <si>
    <t>Swab Retention</t>
  </si>
  <si>
    <t>%</t>
  </si>
  <si>
    <t>Mean DNA Recovered (ng)</t>
  </si>
  <si>
    <t>Extraction loss</t>
  </si>
  <si>
    <t>Percent recovery</t>
  </si>
  <si>
    <t>Formula</t>
  </si>
  <si>
    <t>Mean DNA Recovery</t>
  </si>
  <si>
    <t>% DNA Recovery</t>
  </si>
  <si>
    <t>Swab</t>
  </si>
  <si>
    <t>Direct IQ</t>
  </si>
  <si>
    <t>% retained on swab = % loss on swab - % loss on direct</t>
  </si>
  <si>
    <t>% loss on swab = % retained on swab + % loss on direct</t>
  </si>
  <si>
    <t>% retained on surface = % loss on surface - % loss on swab</t>
  </si>
  <si>
    <t>% retained on surface =</t>
  </si>
  <si>
    <t>Surface</t>
  </si>
  <si>
    <t>Input your DNA Recovery here</t>
  </si>
  <si>
    <t>Constants</t>
  </si>
  <si>
    <t>% DNA loss</t>
  </si>
  <si>
    <t>% DNA retained</t>
  </si>
  <si>
    <t xml:space="preserve">% loss on swab = </t>
  </si>
  <si>
    <t>Transfer pathway calculator</t>
  </si>
  <si>
    <t>Surfaces</t>
  </si>
  <si>
    <t>% Retention</t>
  </si>
  <si>
    <t>Adjustment calculation</t>
  </si>
  <si>
    <t>Surfaces used</t>
  </si>
  <si>
    <t>Mean DNA recovered (ng)</t>
  </si>
  <si>
    <t>Percent Retention</t>
  </si>
  <si>
    <t>Drug baggie</t>
  </si>
  <si>
    <t>Brass door plate</t>
  </si>
  <si>
    <t>Knife handle</t>
  </si>
  <si>
    <t>Subway pole</t>
  </si>
  <si>
    <t>Steering wheel</t>
  </si>
  <si>
    <t>Glass slide</t>
  </si>
  <si>
    <t>Raw Data</t>
  </si>
  <si>
    <t>Adjustment Calculation</t>
  </si>
  <si>
    <t>Data Adjusted for Loss</t>
  </si>
  <si>
    <t>Adjustment Factors</t>
  </si>
  <si>
    <t>Knife sheath</t>
  </si>
  <si>
    <t>Total DNA loss</t>
  </si>
  <si>
    <t>Total DNA recovery</t>
  </si>
  <si>
    <t>Skin</t>
  </si>
  <si>
    <t>Gelatine-based</t>
  </si>
  <si>
    <t>PVA-PDMS</t>
  </si>
  <si>
    <t>Lorica leather</t>
  </si>
  <si>
    <t>Total</t>
  </si>
  <si>
    <t>Key fail points</t>
  </si>
  <si>
    <t>DNA IQ Extraction</t>
  </si>
  <si>
    <t>DNA Deposited (ng</t>
  </si>
  <si>
    <t>Swab retention</t>
  </si>
  <si>
    <t>DNA Transfer Pathway Calculator</t>
  </si>
  <si>
    <t>Snap button</t>
  </si>
  <si>
    <t>Domesticated hand</t>
  </si>
  <si>
    <t>BULLPEN OF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</si>
</sst>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8" tint="0.59999389629810485"/>
      <name val="Calibri"/>
      <family val="2"/>
      <scheme val="minor"/>
    </font>
    <font>
      <b/>
      <sz val="12"/>
      <color theme="8" tint="0.59999389629810485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5"/>
      <color theme="0"/>
      <name val="Calibri (Body)"/>
    </font>
    <font>
      <b/>
      <i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4F0F7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indexed="64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10" fontId="0" fillId="0" borderId="0" xfId="0" applyNumberFormat="1"/>
    <xf numFmtId="0" fontId="0" fillId="0" borderId="4" xfId="0" applyBorder="1"/>
    <xf numFmtId="0" fontId="0" fillId="3" borderId="0" xfId="0" applyFill="1"/>
    <xf numFmtId="0" fontId="0" fillId="5" borderId="0" xfId="0" applyFill="1"/>
    <xf numFmtId="0" fontId="0" fillId="6" borderId="0" xfId="0" applyFill="1"/>
    <xf numFmtId="0" fontId="2" fillId="6" borderId="0" xfId="0" applyFont="1" applyFill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9" fontId="0" fillId="6" borderId="0" xfId="0" applyNumberFormat="1" applyFill="1" applyAlignment="1">
      <alignment horizontal="center"/>
    </xf>
    <xf numFmtId="9" fontId="2" fillId="6" borderId="7" xfId="0" applyNumberFormat="1" applyFont="1" applyFill="1" applyBorder="1" applyAlignment="1">
      <alignment horizontal="center"/>
    </xf>
    <xf numFmtId="0" fontId="0" fillId="6" borderId="2" xfId="0" applyFill="1" applyBorder="1"/>
    <xf numFmtId="0" fontId="0" fillId="6" borderId="4" xfId="0" applyFill="1" applyBorder="1"/>
    <xf numFmtId="9" fontId="2" fillId="5" borderId="7" xfId="0" applyNumberFormat="1" applyFont="1" applyFill="1" applyBorder="1" applyAlignment="1">
      <alignment horizontal="center"/>
    </xf>
    <xf numFmtId="9" fontId="0" fillId="5" borderId="0" xfId="0" applyNumberFormat="1" applyFill="1" applyAlignment="1">
      <alignment horizontal="center"/>
    </xf>
    <xf numFmtId="0" fontId="0" fillId="5" borderId="15" xfId="0" applyFill="1" applyBorder="1"/>
    <xf numFmtId="0" fontId="0" fillId="5" borderId="2" xfId="0" applyFill="1" applyBorder="1" applyAlignment="1">
      <alignment horizontal="center"/>
    </xf>
    <xf numFmtId="0" fontId="0" fillId="5" borderId="16" xfId="0" applyFill="1" applyBorder="1"/>
    <xf numFmtId="9" fontId="0" fillId="5" borderId="4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2" xfId="0" applyFill="1" applyBorder="1"/>
    <xf numFmtId="0" fontId="0" fillId="5" borderId="4" xfId="0" applyFill="1" applyBorder="1"/>
    <xf numFmtId="10" fontId="0" fillId="5" borderId="5" xfId="0" applyNumberFormat="1" applyFill="1" applyBorder="1"/>
    <xf numFmtId="0" fontId="2" fillId="5" borderId="15" xfId="0" applyFont="1" applyFill="1" applyBorder="1"/>
    <xf numFmtId="9" fontId="0" fillId="5" borderId="2" xfId="0" applyNumberFormat="1" applyFill="1" applyBorder="1" applyAlignment="1">
      <alignment horizontal="center"/>
    </xf>
    <xf numFmtId="0" fontId="2" fillId="5" borderId="16" xfId="0" applyFont="1" applyFill="1" applyBorder="1"/>
    <xf numFmtId="0" fontId="0" fillId="5" borderId="4" xfId="0" applyFill="1" applyBorder="1" applyAlignment="1">
      <alignment horizontal="center"/>
    </xf>
    <xf numFmtId="0" fontId="0" fillId="5" borderId="13" xfId="0" applyFill="1" applyBorder="1"/>
    <xf numFmtId="0" fontId="0" fillId="5" borderId="6" xfId="0" applyFill="1" applyBorder="1"/>
    <xf numFmtId="0" fontId="0" fillId="5" borderId="14" xfId="0" applyFill="1" applyBorder="1"/>
    <xf numFmtId="0" fontId="0" fillId="5" borderId="5" xfId="0" applyFill="1" applyBorder="1"/>
    <xf numFmtId="10" fontId="0" fillId="5" borderId="2" xfId="0" applyNumberFormat="1" applyFill="1" applyBorder="1" applyAlignment="1">
      <alignment horizontal="center"/>
    </xf>
    <xf numFmtId="0" fontId="0" fillId="3" borderId="2" xfId="0" applyFill="1" applyBorder="1"/>
    <xf numFmtId="0" fontId="2" fillId="3" borderId="10" xfId="0" applyFont="1" applyFill="1" applyBorder="1"/>
    <xf numFmtId="0" fontId="2" fillId="3" borderId="11" xfId="0" applyFont="1" applyFill="1" applyBorder="1"/>
    <xf numFmtId="0" fontId="0" fillId="3" borderId="12" xfId="0" applyFill="1" applyBorder="1"/>
    <xf numFmtId="0" fontId="0" fillId="6" borderId="15" xfId="0" applyFill="1" applyBorder="1"/>
    <xf numFmtId="9" fontId="0" fillId="6" borderId="2" xfId="0" applyNumberFormat="1" applyFill="1" applyBorder="1" applyAlignment="1">
      <alignment horizontal="center"/>
    </xf>
    <xf numFmtId="9" fontId="0" fillId="3" borderId="12" xfId="0" applyNumberFormat="1" applyFill="1" applyBorder="1" applyAlignment="1">
      <alignment horizontal="center"/>
    </xf>
    <xf numFmtId="9" fontId="2" fillId="3" borderId="12" xfId="0" applyNumberFormat="1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10" fontId="2" fillId="3" borderId="12" xfId="0" applyNumberFormat="1" applyFont="1" applyFill="1" applyBorder="1" applyAlignment="1">
      <alignment horizontal="center"/>
    </xf>
    <xf numFmtId="0" fontId="0" fillId="7" borderId="0" xfId="0" applyFill="1"/>
    <xf numFmtId="0" fontId="0" fillId="7" borderId="2" xfId="0" applyFill="1" applyBorder="1"/>
    <xf numFmtId="0" fontId="0" fillId="7" borderId="5" xfId="0" applyFill="1" applyBorder="1"/>
    <xf numFmtId="0" fontId="0" fillId="7" borderId="4" xfId="0" applyFill="1" applyBorder="1"/>
    <xf numFmtId="0" fontId="0" fillId="7" borderId="1" xfId="0" applyFill="1" applyBorder="1"/>
    <xf numFmtId="0" fontId="3" fillId="7" borderId="3" xfId="0" applyFont="1" applyFill="1" applyBorder="1"/>
    <xf numFmtId="0" fontId="4" fillId="7" borderId="4" xfId="0" applyFont="1" applyFill="1" applyBorder="1"/>
    <xf numFmtId="0" fontId="2" fillId="5" borderId="0" xfId="0" applyFont="1" applyFill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15" xfId="0" applyFont="1" applyFill="1" applyBorder="1"/>
    <xf numFmtId="0" fontId="2" fillId="6" borderId="16" xfId="0" applyFont="1" applyFill="1" applyBorder="1"/>
    <xf numFmtId="0" fontId="0" fillId="6" borderId="4" xfId="0" applyFill="1" applyBorder="1" applyAlignment="1">
      <alignment horizontal="center"/>
    </xf>
    <xf numFmtId="9" fontId="0" fillId="6" borderId="4" xfId="0" applyNumberForma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13" xfId="0" applyFill="1" applyBorder="1"/>
    <xf numFmtId="0" fontId="0" fillId="6" borderId="6" xfId="0" applyFill="1" applyBorder="1"/>
    <xf numFmtId="0" fontId="0" fillId="6" borderId="14" xfId="0" applyFill="1" applyBorder="1"/>
    <xf numFmtId="0" fontId="2" fillId="6" borderId="0" xfId="0" quotePrefix="1" applyFont="1" applyFill="1"/>
    <xf numFmtId="0" fontId="0" fillId="6" borderId="16" xfId="0" applyFill="1" applyBorder="1"/>
    <xf numFmtId="0" fontId="2" fillId="3" borderId="15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12" xfId="0" applyFill="1" applyBorder="1"/>
    <xf numFmtId="0" fontId="2" fillId="6" borderId="4" xfId="0" applyFont="1" applyFill="1" applyBorder="1"/>
    <xf numFmtId="164" fontId="0" fillId="6" borderId="0" xfId="0" applyNumberFormat="1" applyFill="1" applyAlignment="1">
      <alignment horizontal="center"/>
    </xf>
    <xf numFmtId="0" fontId="2" fillId="5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2" xfId="0" applyFont="1" applyFill="1" applyBorder="1" applyAlignment="1">
      <alignment horizontal="center" wrapText="1"/>
    </xf>
    <xf numFmtId="0" fontId="5" fillId="2" borderId="1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6" fillId="2" borderId="13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9" fontId="2" fillId="6" borderId="4" xfId="0" applyNumberFormat="1" applyFont="1" applyFill="1" applyBorder="1" applyAlignment="1">
      <alignment horizontal="center"/>
    </xf>
    <xf numFmtId="9" fontId="2" fillId="6" borderId="5" xfId="0" applyNumberFormat="1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4F0F7"/>
      <color rgb="FFEDEBF7"/>
      <color rgb="FFF7F3F3"/>
      <color rgb="FFF3F3F3"/>
      <color rgb="FFDDE8F8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EF10-A646-2F44-8EC5-547182210428}">
  <dimension ref="A1:J30"/>
  <sheetViews>
    <sheetView zoomScale="112" zoomScaleNormal="112" workbookViewId="0">
      <selection activeCell="J12" sqref="J12"/>
    </sheetView>
  </sheetViews>
  <sheetFormatPr baseColWidth="10" defaultRowHeight="16" x14ac:dyDescent="0.2"/>
  <cols>
    <col min="1" max="1" width="20.1640625" customWidth="1"/>
    <col min="2" max="2" width="12.1640625" customWidth="1"/>
    <col min="6" max="6" width="12.5" customWidth="1"/>
  </cols>
  <sheetData>
    <row r="1" spans="1:10" x14ac:dyDescent="0.2">
      <c r="A1" s="70" t="s">
        <v>0</v>
      </c>
      <c r="B1" s="71"/>
      <c r="C1" s="71"/>
      <c r="D1" s="71"/>
      <c r="E1" s="71"/>
      <c r="F1" s="71"/>
      <c r="G1" s="71"/>
      <c r="H1" s="72"/>
      <c r="I1" s="1"/>
      <c r="J1" s="1"/>
    </row>
    <row r="2" spans="1:10" x14ac:dyDescent="0.2">
      <c r="A2" s="73"/>
      <c r="B2" s="74"/>
      <c r="C2" s="74"/>
      <c r="D2" s="74"/>
      <c r="E2" s="74"/>
      <c r="F2" s="74"/>
      <c r="G2" s="74"/>
      <c r="H2" s="75"/>
    </row>
    <row r="3" spans="1:10" x14ac:dyDescent="0.2">
      <c r="A3" s="79" t="s">
        <v>24</v>
      </c>
      <c r="B3" s="80"/>
      <c r="C3" s="81"/>
      <c r="D3" s="43"/>
      <c r="E3" s="79" t="s">
        <v>23</v>
      </c>
      <c r="F3" s="82"/>
      <c r="G3" s="83"/>
      <c r="H3" s="44"/>
    </row>
    <row r="4" spans="1:10" x14ac:dyDescent="0.2">
      <c r="A4" s="24" t="s">
        <v>1</v>
      </c>
      <c r="B4" s="50" t="s">
        <v>2</v>
      </c>
      <c r="C4" s="51" t="s">
        <v>3</v>
      </c>
      <c r="D4" s="43"/>
      <c r="E4" s="37" t="s">
        <v>10</v>
      </c>
      <c r="F4" s="6"/>
      <c r="G4" s="12">
        <v>1.37</v>
      </c>
      <c r="H4" s="44"/>
    </row>
    <row r="5" spans="1:10" x14ac:dyDescent="0.2">
      <c r="A5" s="37" t="s">
        <v>4</v>
      </c>
      <c r="B5" s="9">
        <v>30</v>
      </c>
      <c r="C5" s="41" t="s">
        <v>5</v>
      </c>
      <c r="D5" s="43"/>
      <c r="E5" s="18" t="s">
        <v>12</v>
      </c>
      <c r="F5" s="22"/>
      <c r="G5" s="23">
        <f>(G4/B6)</f>
        <v>0.15222222222222223</v>
      </c>
      <c r="H5" s="44"/>
    </row>
    <row r="6" spans="1:10" x14ac:dyDescent="0.2">
      <c r="A6" s="16" t="s">
        <v>6</v>
      </c>
      <c r="B6" s="8">
        <v>9</v>
      </c>
      <c r="C6" s="17" t="s">
        <v>7</v>
      </c>
      <c r="D6" s="43"/>
      <c r="E6" s="43"/>
      <c r="F6" s="43"/>
      <c r="G6" s="43"/>
      <c r="H6" s="44"/>
    </row>
    <row r="7" spans="1:10" x14ac:dyDescent="0.2">
      <c r="A7" s="37" t="s">
        <v>8</v>
      </c>
      <c r="B7" s="10">
        <v>0.25</v>
      </c>
      <c r="C7" s="41" t="s">
        <v>9</v>
      </c>
      <c r="D7" s="43"/>
      <c r="E7" s="43"/>
      <c r="F7" s="43"/>
      <c r="G7" s="43"/>
      <c r="H7" s="44"/>
    </row>
    <row r="8" spans="1:10" x14ac:dyDescent="0.2">
      <c r="A8" s="18" t="s">
        <v>11</v>
      </c>
      <c r="B8" s="19">
        <v>0.49</v>
      </c>
      <c r="C8" s="20" t="s">
        <v>9</v>
      </c>
      <c r="D8" s="43"/>
      <c r="E8" s="43"/>
      <c r="F8" s="43"/>
      <c r="G8" s="43"/>
      <c r="H8" s="44"/>
    </row>
    <row r="9" spans="1:10" x14ac:dyDescent="0.2">
      <c r="A9" s="47"/>
      <c r="B9" s="6"/>
      <c r="C9" s="6"/>
      <c r="D9" s="43"/>
      <c r="E9" s="43"/>
      <c r="F9" s="43"/>
      <c r="G9" s="43"/>
      <c r="H9" s="44"/>
    </row>
    <row r="10" spans="1:10" x14ac:dyDescent="0.2">
      <c r="A10" s="47"/>
      <c r="B10" s="76" t="s">
        <v>13</v>
      </c>
      <c r="C10" s="77"/>
      <c r="D10" s="77"/>
      <c r="E10" s="77"/>
      <c r="F10" s="78"/>
      <c r="G10" s="43"/>
      <c r="H10" s="44"/>
    </row>
    <row r="11" spans="1:10" x14ac:dyDescent="0.2">
      <c r="A11" s="47"/>
      <c r="B11" s="16"/>
      <c r="C11" s="5"/>
      <c r="D11" s="5"/>
      <c r="E11" s="5"/>
      <c r="F11" s="21"/>
      <c r="G11" s="43"/>
      <c r="H11" s="44"/>
    </row>
    <row r="12" spans="1:10" x14ac:dyDescent="0.2">
      <c r="A12" s="47"/>
      <c r="B12" s="16"/>
      <c r="C12" s="67" t="s">
        <v>14</v>
      </c>
      <c r="D12" s="67" t="s">
        <v>15</v>
      </c>
      <c r="E12" s="68" t="s">
        <v>25</v>
      </c>
      <c r="F12" s="69" t="s">
        <v>26</v>
      </c>
      <c r="G12" s="43"/>
      <c r="H12" s="44"/>
    </row>
    <row r="13" spans="1:10" x14ac:dyDescent="0.2">
      <c r="A13" s="47"/>
      <c r="B13" s="16"/>
      <c r="C13" s="67"/>
      <c r="D13" s="67"/>
      <c r="E13" s="68"/>
      <c r="F13" s="69"/>
      <c r="G13" s="43"/>
      <c r="H13" s="44"/>
    </row>
    <row r="14" spans="1:10" x14ac:dyDescent="0.2">
      <c r="A14" s="47"/>
      <c r="B14" s="52" t="s">
        <v>22</v>
      </c>
      <c r="C14" s="9">
        <f>G4</f>
        <v>1.37</v>
      </c>
      <c r="D14" s="10">
        <f>G5</f>
        <v>0.15222222222222223</v>
      </c>
      <c r="E14" s="10">
        <f>1-D14</f>
        <v>0.84777777777777774</v>
      </c>
      <c r="F14" s="11">
        <f>E14-E15</f>
        <v>0.10777777777777775</v>
      </c>
      <c r="G14" s="43"/>
      <c r="H14" s="44"/>
    </row>
    <row r="15" spans="1:10" x14ac:dyDescent="0.2">
      <c r="A15" s="47"/>
      <c r="B15" s="24" t="s">
        <v>16</v>
      </c>
      <c r="C15" s="8"/>
      <c r="D15" s="8"/>
      <c r="E15" s="15">
        <f>D20</f>
        <v>0.74</v>
      </c>
      <c r="F15" s="25">
        <f>B7</f>
        <v>0.25</v>
      </c>
      <c r="G15" s="43"/>
      <c r="H15" s="44"/>
    </row>
    <row r="16" spans="1:10" x14ac:dyDescent="0.2">
      <c r="A16" s="47"/>
      <c r="B16" s="53" t="s">
        <v>17</v>
      </c>
      <c r="C16" s="54"/>
      <c r="D16" s="55">
        <f>1-E16</f>
        <v>0.51</v>
      </c>
      <c r="E16" s="55">
        <f>B8</f>
        <v>0.49</v>
      </c>
      <c r="F16" s="56"/>
      <c r="G16" s="43"/>
      <c r="H16" s="44"/>
    </row>
    <row r="17" spans="1:8" x14ac:dyDescent="0.2">
      <c r="A17" s="47"/>
      <c r="B17" s="43"/>
      <c r="C17" s="43"/>
      <c r="D17" s="43"/>
      <c r="E17" s="43"/>
      <c r="F17" s="43"/>
      <c r="G17" s="43"/>
      <c r="H17" s="44"/>
    </row>
    <row r="18" spans="1:8" x14ac:dyDescent="0.2">
      <c r="A18" s="47"/>
      <c r="B18" s="28" t="s">
        <v>18</v>
      </c>
      <c r="C18" s="29"/>
      <c r="D18" s="29"/>
      <c r="E18" s="29"/>
      <c r="F18" s="30"/>
      <c r="G18" s="43"/>
      <c r="H18" s="44"/>
    </row>
    <row r="19" spans="1:8" x14ac:dyDescent="0.2">
      <c r="A19" s="47"/>
      <c r="B19" s="37" t="s">
        <v>19</v>
      </c>
      <c r="C19" s="6"/>
      <c r="D19" s="6"/>
      <c r="E19" s="6"/>
      <c r="F19" s="12"/>
      <c r="G19" s="43"/>
      <c r="H19" s="44"/>
    </row>
    <row r="20" spans="1:8" x14ac:dyDescent="0.2">
      <c r="A20" s="47"/>
      <c r="B20" s="26" t="s">
        <v>27</v>
      </c>
      <c r="C20" s="22"/>
      <c r="D20" s="14">
        <f>F15+E16</f>
        <v>0.74</v>
      </c>
      <c r="E20" s="22"/>
      <c r="F20" s="31"/>
      <c r="G20" s="43"/>
      <c r="H20" s="44"/>
    </row>
    <row r="21" spans="1:8" x14ac:dyDescent="0.2">
      <c r="A21" s="47"/>
      <c r="B21" s="43"/>
      <c r="C21" s="43"/>
      <c r="D21" s="43"/>
      <c r="E21" s="43"/>
      <c r="F21" s="43"/>
      <c r="G21" s="43"/>
      <c r="H21" s="44"/>
    </row>
    <row r="22" spans="1:8" x14ac:dyDescent="0.2">
      <c r="A22" s="47"/>
      <c r="B22" s="57" t="s">
        <v>20</v>
      </c>
      <c r="C22" s="58"/>
      <c r="D22" s="58"/>
      <c r="E22" s="58"/>
      <c r="F22" s="59"/>
      <c r="G22" s="43"/>
      <c r="H22" s="44"/>
    </row>
    <row r="23" spans="1:8" x14ac:dyDescent="0.2">
      <c r="A23" s="47"/>
      <c r="B23" s="26" t="s">
        <v>21</v>
      </c>
      <c r="C23" s="22"/>
      <c r="D23" s="14">
        <f>E14-E15</f>
        <v>0.10777777777777775</v>
      </c>
      <c r="E23" s="22"/>
      <c r="F23" s="31"/>
      <c r="G23" s="43"/>
      <c r="H23" s="44"/>
    </row>
    <row r="24" spans="1:8" x14ac:dyDescent="0.2">
      <c r="A24" s="48"/>
      <c r="B24" s="49"/>
      <c r="C24" s="49"/>
      <c r="D24" s="49"/>
      <c r="E24" s="49"/>
      <c r="F24" s="49"/>
      <c r="G24" s="46"/>
      <c r="H24" s="45"/>
    </row>
    <row r="30" spans="1:8" x14ac:dyDescent="0.2">
      <c r="C30" s="3"/>
    </row>
  </sheetData>
  <mergeCells count="8">
    <mergeCell ref="C12:C13"/>
    <mergeCell ref="D12:D13"/>
    <mergeCell ref="E12:E13"/>
    <mergeCell ref="F12:F13"/>
    <mergeCell ref="A1:H2"/>
    <mergeCell ref="B10:F10"/>
    <mergeCell ref="A3:C3"/>
    <mergeCell ref="E3:G3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F9542-B94F-054E-8A38-4724A1440239}">
  <dimension ref="A1:I42"/>
  <sheetViews>
    <sheetView tabSelected="1" topLeftCell="A9" zoomScale="112" zoomScaleNormal="112" workbookViewId="0">
      <selection activeCell="D32" sqref="D32"/>
    </sheetView>
  </sheetViews>
  <sheetFormatPr baseColWidth="10" defaultRowHeight="16" x14ac:dyDescent="0.2"/>
  <cols>
    <col min="1" max="1" width="17.83203125" customWidth="1"/>
    <col min="2" max="2" width="11.1640625" bestFit="1" customWidth="1"/>
    <col min="3" max="3" width="5" customWidth="1"/>
    <col min="4" max="4" width="30.5" bestFit="1" customWidth="1"/>
    <col min="5" max="5" width="22.6640625" bestFit="1" customWidth="1"/>
    <col min="6" max="6" width="19" customWidth="1"/>
    <col min="7" max="7" width="17.33203125" bestFit="1" customWidth="1"/>
    <col min="11" max="11" width="37.33203125" bestFit="1" customWidth="1"/>
    <col min="12" max="12" width="23" bestFit="1" customWidth="1"/>
    <col min="13" max="13" width="20.1640625" bestFit="1" customWidth="1"/>
    <col min="14" max="14" width="13.33203125" bestFit="1" customWidth="1"/>
    <col min="15" max="15" width="17.5" bestFit="1" customWidth="1"/>
  </cols>
  <sheetData>
    <row r="1" spans="1:9" x14ac:dyDescent="0.2">
      <c r="A1" t="s">
        <v>28</v>
      </c>
    </row>
    <row r="11" spans="1:9" ht="16" customHeight="1" x14ac:dyDescent="0.2">
      <c r="A11" s="85" t="s">
        <v>57</v>
      </c>
      <c r="B11" s="86"/>
      <c r="C11" s="86"/>
      <c r="D11" s="86"/>
      <c r="E11" s="86"/>
      <c r="F11" s="86"/>
      <c r="G11" s="86"/>
      <c r="H11" s="86"/>
      <c r="I11" s="87"/>
    </row>
    <row r="12" spans="1:9" x14ac:dyDescent="0.2">
      <c r="A12" s="88"/>
      <c r="B12" s="89"/>
      <c r="C12" s="89"/>
      <c r="D12" s="89"/>
      <c r="E12" s="89"/>
      <c r="F12" s="89"/>
      <c r="G12" s="89"/>
      <c r="H12" s="89"/>
      <c r="I12" s="90"/>
    </row>
    <row r="13" spans="1:9" x14ac:dyDescent="0.2">
      <c r="A13" s="97" t="s">
        <v>60</v>
      </c>
      <c r="B13" s="97"/>
      <c r="C13" s="43"/>
      <c r="D13" s="43"/>
      <c r="E13" s="43"/>
      <c r="F13" s="43"/>
      <c r="G13" s="43"/>
      <c r="H13" s="43"/>
      <c r="I13" s="43"/>
    </row>
    <row r="14" spans="1:9" x14ac:dyDescent="0.2">
      <c r="A14" s="91" t="s">
        <v>29</v>
      </c>
      <c r="B14" s="91" t="s">
        <v>30</v>
      </c>
      <c r="C14" s="43"/>
      <c r="D14" s="95" t="s">
        <v>31</v>
      </c>
      <c r="E14" s="96"/>
      <c r="F14" s="96"/>
      <c r="G14" s="96"/>
      <c r="H14" s="96"/>
      <c r="I14" s="64"/>
    </row>
    <row r="15" spans="1:9" x14ac:dyDescent="0.2">
      <c r="A15" s="92"/>
      <c r="B15" s="92"/>
      <c r="C15" s="43"/>
      <c r="D15" s="62" t="s">
        <v>32</v>
      </c>
      <c r="E15" s="63" t="s">
        <v>33</v>
      </c>
      <c r="F15" s="63" t="s">
        <v>34</v>
      </c>
      <c r="G15" s="4"/>
      <c r="H15" s="4"/>
      <c r="I15" s="33"/>
    </row>
    <row r="16" spans="1:9" x14ac:dyDescent="0.2">
      <c r="A16" s="16" t="s">
        <v>35</v>
      </c>
      <c r="B16" s="25">
        <v>0.01</v>
      </c>
      <c r="C16" s="43"/>
      <c r="D16" s="16" t="s">
        <v>59</v>
      </c>
      <c r="E16" s="8">
        <v>1.0900000000000001</v>
      </c>
      <c r="F16" s="8">
        <v>7</v>
      </c>
      <c r="G16" s="5"/>
      <c r="H16" s="5"/>
      <c r="I16" s="21"/>
    </row>
    <row r="17" spans="1:9" x14ac:dyDescent="0.2">
      <c r="A17" s="37" t="s">
        <v>36</v>
      </c>
      <c r="B17" s="38">
        <v>0.06</v>
      </c>
      <c r="C17" s="43"/>
      <c r="D17" s="37"/>
      <c r="E17" s="66"/>
      <c r="F17" s="9"/>
      <c r="G17" s="6"/>
      <c r="H17" s="6"/>
      <c r="I17" s="12"/>
    </row>
    <row r="18" spans="1:9" x14ac:dyDescent="0.2">
      <c r="A18" s="16" t="s">
        <v>37</v>
      </c>
      <c r="B18" s="25">
        <v>0.13</v>
      </c>
      <c r="C18" s="43"/>
      <c r="D18" s="18" t="s">
        <v>58</v>
      </c>
      <c r="E18" s="27">
        <v>0.6</v>
      </c>
      <c r="F18" s="27">
        <v>11</v>
      </c>
      <c r="G18" s="22"/>
      <c r="H18" s="22"/>
      <c r="I18" s="31"/>
    </row>
    <row r="19" spans="1:9" x14ac:dyDescent="0.2">
      <c r="A19" s="37" t="s">
        <v>38</v>
      </c>
      <c r="B19" s="38">
        <v>0.16</v>
      </c>
      <c r="C19" s="43"/>
      <c r="D19" s="43"/>
      <c r="E19" s="43"/>
      <c r="F19" s="43"/>
      <c r="G19" s="43"/>
      <c r="H19" s="43"/>
      <c r="I19" s="43"/>
    </row>
    <row r="20" spans="1:9" x14ac:dyDescent="0.2">
      <c r="A20" s="16" t="s">
        <v>39</v>
      </c>
      <c r="B20" s="25">
        <v>0.18</v>
      </c>
      <c r="C20" s="43"/>
      <c r="D20" s="43"/>
      <c r="E20" s="43"/>
      <c r="F20" s="43"/>
      <c r="G20" s="43"/>
      <c r="H20" s="43"/>
      <c r="I20" s="43"/>
    </row>
    <row r="21" spans="1:9" x14ac:dyDescent="0.2">
      <c r="A21" s="37" t="s">
        <v>40</v>
      </c>
      <c r="B21" s="38">
        <v>0.16</v>
      </c>
      <c r="C21" s="43"/>
      <c r="D21" s="34" t="s">
        <v>41</v>
      </c>
      <c r="E21" s="35" t="s">
        <v>42</v>
      </c>
      <c r="F21" s="35" t="s">
        <v>43</v>
      </c>
      <c r="G21" s="77" t="s">
        <v>44</v>
      </c>
      <c r="H21" s="77"/>
      <c r="I21" s="36"/>
    </row>
    <row r="22" spans="1:9" x14ac:dyDescent="0.2">
      <c r="A22" s="16" t="s">
        <v>45</v>
      </c>
      <c r="B22" s="25" t="s">
        <v>9</v>
      </c>
      <c r="C22" s="43"/>
      <c r="D22" s="16" t="str">
        <f>B34 &amp; " ng deposited"</f>
        <v>9 ng deposited</v>
      </c>
      <c r="E22" s="5"/>
      <c r="F22" s="5"/>
      <c r="G22" s="84" t="str">
        <f>D22</f>
        <v>9 ng deposited</v>
      </c>
      <c r="H22" s="84"/>
      <c r="I22" s="21"/>
    </row>
    <row r="23" spans="1:9" x14ac:dyDescent="0.2">
      <c r="A23" s="16"/>
      <c r="B23" s="25"/>
      <c r="C23" s="43"/>
      <c r="D23" s="37"/>
      <c r="E23" s="6"/>
      <c r="F23" s="6"/>
      <c r="G23" s="60" t="s">
        <v>46</v>
      </c>
      <c r="H23" s="7" t="s">
        <v>47</v>
      </c>
      <c r="I23" s="12"/>
    </row>
    <row r="24" spans="1:9" x14ac:dyDescent="0.2">
      <c r="A24" s="34" t="s">
        <v>48</v>
      </c>
      <c r="B24" s="39"/>
      <c r="C24" s="43"/>
      <c r="D24" s="16" t="str">
        <f>E16 &amp;" ng recovered from " &amp;  D16</f>
        <v>1.09 ng recovered from Domesticated hand</v>
      </c>
      <c r="E24" s="8" t="str">
        <f>E16 &amp; "= x " &amp; "(" &amp;(H24/100) &amp;")"</f>
        <v>1.09= x (0.19)</v>
      </c>
      <c r="F24" s="8">
        <f>(E16/(H24/100))</f>
        <v>5.7368421052631584</v>
      </c>
      <c r="G24" s="8">
        <f>SUM(B35,B36,F16)</f>
        <v>81</v>
      </c>
      <c r="H24" s="8">
        <f>100-G24</f>
        <v>19</v>
      </c>
      <c r="I24" s="17"/>
    </row>
    <row r="25" spans="1:9" x14ac:dyDescent="0.2">
      <c r="A25" s="16" t="s">
        <v>49</v>
      </c>
      <c r="B25" s="25">
        <v>0.15</v>
      </c>
      <c r="C25" s="43"/>
      <c r="D25" s="37" t="str">
        <f>E17 &amp; " ng recovered from " &amp; D17</f>
        <v xml:space="preserve"> ng recovered from </v>
      </c>
      <c r="E25" s="9" t="str">
        <f>E17 &amp; "= x " &amp; "(" &amp;(H25/100) &amp;")"</f>
        <v>= x (0.26)</v>
      </c>
      <c r="F25" s="9">
        <f>(E17/(H25/100))</f>
        <v>0</v>
      </c>
      <c r="G25" s="9">
        <f>SUM(B35,B36,F17)</f>
        <v>74</v>
      </c>
      <c r="H25" s="9">
        <f>100-G25</f>
        <v>26</v>
      </c>
      <c r="I25" s="41"/>
    </row>
    <row r="26" spans="1:9" x14ac:dyDescent="0.2">
      <c r="A26" s="37" t="s">
        <v>50</v>
      </c>
      <c r="B26" s="38">
        <v>0.15</v>
      </c>
      <c r="C26" s="43"/>
      <c r="D26" s="16" t="str">
        <f>E18 &amp; " ng recovered from " &amp; D18</f>
        <v>0.6 ng recovered from Snap button</v>
      </c>
      <c r="E26" s="8" t="str">
        <f>E18 &amp; "= x " &amp; "(" &amp;(H26/100) &amp;")"</f>
        <v>0.6= x (0.15)</v>
      </c>
      <c r="F26" s="8">
        <f>(E18/(H26/100))</f>
        <v>4</v>
      </c>
      <c r="G26" s="8">
        <f>SUM(B35,B36,F18)</f>
        <v>85</v>
      </c>
      <c r="H26" s="8">
        <f>100-G26</f>
        <v>15</v>
      </c>
      <c r="I26" s="17"/>
    </row>
    <row r="27" spans="1:9" x14ac:dyDescent="0.2">
      <c r="A27" s="16" t="s">
        <v>51</v>
      </c>
      <c r="B27" s="25">
        <v>0.06</v>
      </c>
      <c r="C27" s="43"/>
      <c r="D27" s="61"/>
      <c r="E27" s="13" t="s">
        <v>52</v>
      </c>
      <c r="F27" s="65" t="str">
        <f>SUM(F24:F26) &amp; " ng "</f>
        <v xml:space="preserve">9.73684210526316 ng </v>
      </c>
      <c r="G27" s="93" t="str">
        <f>(SUM(F24:F26)/B34)*100 &amp; " DNA Recovered"</f>
        <v>108.187134502924 DNA Recovered</v>
      </c>
      <c r="H27" s="93"/>
      <c r="I27" s="94"/>
    </row>
    <row r="28" spans="1:9" x14ac:dyDescent="0.2">
      <c r="A28" s="16"/>
      <c r="B28" s="25"/>
      <c r="C28" s="43"/>
      <c r="D28" s="43"/>
      <c r="E28" s="43"/>
      <c r="F28" s="43"/>
      <c r="G28" s="43"/>
      <c r="H28" s="43"/>
      <c r="I28" s="43"/>
    </row>
    <row r="29" spans="1:9" x14ac:dyDescent="0.2">
      <c r="A29" s="34" t="s">
        <v>53</v>
      </c>
      <c r="B29" s="40"/>
      <c r="C29" s="43"/>
      <c r="D29" s="43"/>
      <c r="E29" s="43"/>
      <c r="F29" s="43"/>
      <c r="G29" s="43"/>
      <c r="H29" s="43"/>
      <c r="I29" s="43"/>
    </row>
    <row r="30" spans="1:9" x14ac:dyDescent="0.2">
      <c r="A30" s="16" t="s">
        <v>16</v>
      </c>
      <c r="B30" s="25">
        <v>0.25</v>
      </c>
      <c r="C30" s="43"/>
      <c r="D30" s="43"/>
      <c r="E30" s="43"/>
      <c r="F30" s="43"/>
      <c r="G30" s="43"/>
      <c r="H30" s="43"/>
      <c r="I30" s="43"/>
    </row>
    <row r="31" spans="1:9" x14ac:dyDescent="0.2">
      <c r="A31" s="37" t="s">
        <v>54</v>
      </c>
      <c r="B31" s="38">
        <v>0.49</v>
      </c>
      <c r="C31" s="43"/>
      <c r="D31" s="43"/>
      <c r="E31" s="43"/>
      <c r="F31" s="43"/>
      <c r="G31" s="43"/>
      <c r="H31" s="43"/>
      <c r="I31" s="43"/>
    </row>
    <row r="32" spans="1:9" x14ac:dyDescent="0.2">
      <c r="A32" s="16"/>
      <c r="B32" s="32"/>
      <c r="C32" s="43"/>
      <c r="D32" s="43"/>
      <c r="E32" s="43"/>
      <c r="F32" s="43"/>
      <c r="G32" s="43"/>
      <c r="H32" s="43"/>
      <c r="I32" s="43"/>
    </row>
    <row r="33" spans="1:9" x14ac:dyDescent="0.2">
      <c r="A33" s="34" t="s">
        <v>2</v>
      </c>
      <c r="B33" s="42"/>
      <c r="C33" s="43"/>
      <c r="D33" s="43"/>
      <c r="E33" s="43"/>
      <c r="F33" s="43"/>
      <c r="G33" s="43"/>
      <c r="H33" s="43"/>
      <c r="I33" s="43"/>
    </row>
    <row r="34" spans="1:9" x14ac:dyDescent="0.2">
      <c r="A34" s="16" t="s">
        <v>55</v>
      </c>
      <c r="B34" s="17">
        <v>9</v>
      </c>
      <c r="C34" s="43"/>
      <c r="D34" s="43"/>
      <c r="E34" s="43"/>
      <c r="F34" s="43"/>
      <c r="G34" s="43"/>
      <c r="H34" s="43"/>
      <c r="I34" s="43"/>
    </row>
    <row r="35" spans="1:9" x14ac:dyDescent="0.2">
      <c r="A35" s="37" t="s">
        <v>56</v>
      </c>
      <c r="B35" s="41">
        <v>25</v>
      </c>
      <c r="C35" s="43"/>
      <c r="D35" s="43"/>
      <c r="E35" s="43"/>
      <c r="F35" s="43"/>
      <c r="G35" s="43"/>
      <c r="H35" s="43"/>
      <c r="I35" s="43"/>
    </row>
    <row r="36" spans="1:9" x14ac:dyDescent="0.2">
      <c r="A36" s="18" t="s">
        <v>11</v>
      </c>
      <c r="B36" s="20">
        <v>49</v>
      </c>
      <c r="C36" s="43"/>
      <c r="D36" s="43"/>
      <c r="E36" s="43"/>
      <c r="F36" s="43"/>
      <c r="G36" s="43"/>
      <c r="H36" s="43"/>
      <c r="I36" s="43"/>
    </row>
    <row r="37" spans="1:9" x14ac:dyDescent="0.2">
      <c r="A37" s="43"/>
      <c r="B37" s="43"/>
      <c r="C37" s="43"/>
      <c r="D37" s="43"/>
      <c r="E37" s="43"/>
      <c r="F37" s="43"/>
      <c r="G37" s="43"/>
      <c r="H37" s="43"/>
      <c r="I37" s="43"/>
    </row>
    <row r="42" spans="1:9" x14ac:dyDescent="0.2">
      <c r="B42" s="2"/>
    </row>
  </sheetData>
  <mergeCells count="8">
    <mergeCell ref="G22:H22"/>
    <mergeCell ref="A11:I12"/>
    <mergeCell ref="A14:A15"/>
    <mergeCell ref="B14:B15"/>
    <mergeCell ref="G27:I27"/>
    <mergeCell ref="D14:H14"/>
    <mergeCell ref="G21:H21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DNA Retention on Surface</vt:lpstr>
      <vt:lpstr>Pathway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Aldrin John Novillos Alviar</dc:creator>
  <cp:lastModifiedBy>Aldrin John Novillos Alviar</cp:lastModifiedBy>
  <dcterms:created xsi:type="dcterms:W3CDTF">2023-11-06T05:12:18Z</dcterms:created>
  <dcterms:modified xsi:type="dcterms:W3CDTF">2026-09-06T18:53:42Z</dcterms:modified>
</cp:coreProperties>
</file>